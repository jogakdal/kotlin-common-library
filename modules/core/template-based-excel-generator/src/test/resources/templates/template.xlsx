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core/template-based-excel-generator/src/test/resources/templates/"/>
    </mc:Choice>
  </mc:AlternateContent>
  <xr:revisionPtr revIDLastSave="0" documentId="13_ncr:1_{F1EB39EC-2275-4543-8E0D-9EF8857B4F5F}" xr6:coauthVersionLast="47" xr6:coauthVersionMax="47" xr10:uidLastSave="{00000000-0000-0000-0000-000000000000}"/>
  <bookViews>
    <workbookView xWindow="70260" yWindow="-3400" windowWidth="20980" windowHeight="17020" activeTab="3" xr2:uid="{00000000-000D-0000-FFFF-FFFF00000000}"/>
  </bookViews>
  <sheets>
    <sheet name="세로 확장(기본형)" sheetId="1" r:id="rId1"/>
    <sheet name="가로 확장" sheetId="2" r:id="rId2"/>
    <sheet name="셀병합" sheetId="3" r:id="rId3"/>
    <sheet name="Named Range" sheetId="4" r:id="rId4"/>
    <sheet name="확장 함수" sheetId="5" r:id="rId5"/>
    <sheet name="멀티 반복" sheetId="7" r:id="rId6"/>
  </sheets>
  <definedNames>
    <definedName name="employeeList">'Named Range'!$A$6:$C$6</definedName>
  </definedNames>
  <calcPr calcId="191029"/>
  <pivotCaches>
    <pivotCache cacheId="149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5" l="1" a="1"/>
  <c r="B8" i="5" s="1"/>
  <c r="E4" i="7" a="1"/>
  <c r="E4" i="7" s="1"/>
  <c r="F10" i="7" a="1"/>
  <c r="F10" i="7" s="1"/>
  <c r="B9" i="7"/>
  <c r="A4" i="7" a="1"/>
  <c r="A4" i="7" s="1"/>
  <c r="F1" i="7"/>
  <c r="E1" i="7" a="1"/>
  <c r="E1" i="7" s="1"/>
  <c r="C1" i="7" a="1"/>
  <c r="C1" i="7" s="1"/>
  <c r="A4" i="5" a="1"/>
  <c r="A4" i="5" s="1"/>
  <c r="E1" i="5" a="1"/>
  <c r="E1" i="5" s="1"/>
  <c r="C1" i="5" a="1"/>
  <c r="C1" i="5" s="1"/>
  <c r="B9" i="5"/>
  <c r="F1" i="5"/>
  <c r="B9" i="4"/>
  <c r="F1" i="4"/>
  <c r="F1" i="1"/>
  <c r="B11" i="3"/>
  <c r="B9" i="1"/>
  <c r="F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<sst xmlns="http://schemas.openxmlformats.org/spreadsheetml/2006/main" count="117" uniqueCount="44">
  <si>
    <t>${title}</t>
  </si>
  <si>
    <t>이름</t>
  </si>
  <si>
    <t>직급</t>
  </si>
  <si>
    <t>급여</t>
  </si>
  <si>
    <t>${emp.position}</t>
  </si>
  <si>
    <t>${emp.salary}</t>
  </si>
  <si>
    <t>총원:</t>
  </si>
  <si>
    <t>(주)휴넷 보고서</t>
    <phoneticPr fontId="2" type="noConversion"/>
  </si>
  <si>
    <t>작성일: ${date}</t>
    <phoneticPr fontId="2" type="noConversion"/>
  </si>
  <si>
    <t>${emp.name}</t>
    <phoneticPr fontId="2" type="noConversion"/>
  </si>
  <si>
    <t>총 급여:</t>
    <phoneticPr fontId="2" type="noConversion"/>
  </si>
  <si>
    <t>총급여:</t>
    <phoneticPr fontId="2" type="noConversion"/>
  </si>
  <si>
    <t>이름</t>
    <phoneticPr fontId="2" type="noConversion"/>
  </si>
  <si>
    <t>급여</t>
    <phoneticPr fontId="2" type="noConversion"/>
  </si>
  <si>
    <t>${repeat(collection=employees, range=A6:C6, var=emp)}</t>
    <phoneticPr fontId="2" type="noConversion"/>
  </si>
  <si>
    <t>${repeat(collection=employees, range=b5:b7, var=emp, direction=RIGHT)}</t>
    <phoneticPr fontId="2" type="noConversion"/>
  </si>
  <si>
    <t>총합계</t>
  </si>
  <si>
    <t>총</t>
  </si>
  <si>
    <t>평균 급여</t>
  </si>
  <si>
    <t>합계 급여</t>
  </si>
  <si>
    <t>행 레이블</t>
  </si>
  <si>
    <t>개수 : 이름</t>
  </si>
  <si>
    <t>${image(ci, C10, 0:-1)}</t>
    <phoneticPr fontId="2" type="noConversion"/>
  </si>
  <si>
    <t>${image(ci, B11, 0:-1)}</t>
    <phoneticPr fontId="2" type="noConversion"/>
  </si>
  <si>
    <t>${image(ci, "", 0:-1)}</t>
    <phoneticPr fontId="2" type="noConversion"/>
  </si>
  <si>
    <t>${image(logo, "", 0:-0)}</t>
    <phoneticPr fontId="2" type="noConversion"/>
  </si>
  <si>
    <t>${image(ci, "", 0:0)}</t>
    <phoneticPr fontId="2" type="noConversion"/>
  </si>
  <si>
    <t>${image(ci, "", -1:-1)}</t>
    <phoneticPr fontId="2" type="noConversion"/>
  </si>
  <si>
    <t>${image(ci)}</t>
    <phoneticPr fontId="2" type="noConversion"/>
  </si>
  <si>
    <t>${repeat(collection=employees, range=employeeList, var=emp)}</t>
    <phoneticPr fontId="2" type="noConversion"/>
  </si>
  <si>
    <t>부서명</t>
    <phoneticPr fontId="2" type="noConversion"/>
  </si>
  <si>
    <t>인원</t>
    <phoneticPr fontId="2" type="noConversion"/>
  </si>
  <si>
    <t>사무실</t>
    <phoneticPr fontId="2" type="noConversion"/>
  </si>
  <si>
    <t>${dep.name}</t>
    <phoneticPr fontId="2" type="noConversion"/>
  </si>
  <si>
    <t>${dep.members}</t>
    <phoneticPr fontId="2" type="noConversion"/>
  </si>
  <si>
    <t>${dep.office}</t>
    <phoneticPr fontId="2" type="noConversion"/>
  </si>
  <si>
    <t>${secondTitle}</t>
    <phoneticPr fontId="2" type="noConversion"/>
  </si>
  <si>
    <t>안녕하세요?</t>
    <phoneticPr fontId="2" type="noConversion"/>
  </si>
  <si>
    <t>${image(ci, C11, 0:-1)}</t>
    <phoneticPr fontId="2" type="noConversion"/>
  </si>
  <si>
    <t>${image(ci, B12, 0:-1)}</t>
    <phoneticPr fontId="2" type="noConversion"/>
  </si>
  <si>
    <t>${size(employees)}명</t>
    <phoneticPr fontId="2" type="noConversion"/>
  </si>
  <si>
    <t>${repeat(collection=mergedEmployees, range=A7:b8, var=emp)}</t>
    <phoneticPr fontId="2" type="noConversion"/>
  </si>
  <si>
    <t>${size(mergedEmployees)}명</t>
    <phoneticPr fontId="2" type="noConversion"/>
  </si>
  <si>
    <t>${image(logo)}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</si>
</sst>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2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sz val="12"/>
      <color rgb="FF006100"/>
      <name val="맑은 고딕"/>
      <family val="2"/>
      <charset val="129"/>
      <scheme val="minor"/>
    </font>
    <font>
      <b/>
      <sz val="22"/>
      <color indexed="8"/>
      <name val="맑은 고딕"/>
      <family val="2"/>
      <charset val="129"/>
      <scheme val="minor"/>
    </font>
    <font>
      <b/>
      <sz val="20"/>
      <color theme="3" tint="0.249977111117893"/>
      <name val="맑은 고딕"/>
      <family val="2"/>
      <charset val="129"/>
      <scheme val="minor"/>
    </font>
    <font>
      <b/>
      <sz val="11"/>
      <name val="Malgun Gothic"/>
      <family val="2"/>
      <charset val="129"/>
    </font>
    <font>
      <sz val="11"/>
      <color rgb="FF000000"/>
      <name val="맑은 고딕"/>
      <family val="2"/>
      <charset val="129"/>
      <scheme val="minor"/>
    </font>
    <font>
      <b/>
      <i/>
      <u val="double"/>
      <sz val="11"/>
      <color rgb="FFFF0000"/>
      <name val="맑은 고딕"/>
      <family val="2"/>
      <charset val="129"/>
      <scheme val="minor"/>
    </font>
    <font>
      <b/>
      <i/>
      <u/>
      <sz val="11"/>
      <color theme="6" tint="-0.249977111117893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u/>
      <sz val="14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2" borderId="0" xfId="0" applyFont="1" applyFill="1" applyAlignment="1"/>
    <xf numFmtId="0" fontId="1" fillId="0" borderId="0" xfId="0" applyFont="1" applyAlignment="1"/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right" vertical="center"/>
    </xf>
    <xf numFmtId="176" fontId="0" fillId="4" borderId="0" xfId="0" applyNumberForma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6" fillId="2" borderId="0" xfId="0" applyFont="1" applyFill="1" applyAlignment="1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1" applyFont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좋음" xfId="1" builtinId="26"/>
    <cellStyle name="표준" xfId="0" builtinId="0"/>
    <cellStyle name="하이퍼링크" xfId="2" builtinId="8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</font>
    </dxf>
    <dxf>
      <font>
        <i/>
      </font>
    </dxf>
    <dxf>
      <font>
        <b/>
        <charset val="129"/>
      </font>
    </dxf>
    <dxf>
      <font>
        <color rgb="FFFF0000"/>
        <charset val="129"/>
      </font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176" formatCode="#,##0_ "/>
    </dxf>
    <dxf>
      <fill>
        <patternFill patternType="solid">
          <bgColor rgb="FFFFFF00"/>
        </patternFill>
      </fill>
    </dxf>
    <dxf>
      <numFmt numFmtId="177" formatCode="#,##0.0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[template.xlsx]세로 확장(기본형)!피벗 테이블3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차트</a:t>
            </a:r>
            <a:r>
              <a:rPr lang="en-US" altLang="ko-KR"/>
              <a:t>: ${title}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'세로 확장(기본형)'!$J$6</c:f>
              <c:strCache>
                <c:ptCount val="1"/>
                <c:pt idx="0">
                  <c:v>합계 급여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'세로 확장(기본형)'!$I$7:$I$8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'세로 확장(기본형)'!$J$7:$J$8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5265039"/>
        <c:axId val="1536142223"/>
      </c:barChart>
      <c:lineChart>
        <c:grouping val="standard"/>
        <c:varyColors val="0"/>
        <c:ser>
          <c:idx val="1"/>
          <c:order val="1"/>
          <c:tx>
            <c:strRef>
              <c:f>'세로 확장(기본형)'!$K$6</c:f>
              <c:strCache>
                <c:ptCount val="1"/>
                <c:pt idx="0">
                  <c:v>평균 급여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'세로 확장(기본형)'!$I$7:$I$8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'세로 확장(기본형)'!$K$7:$K$8</c:f>
              <c:numCache>
                <c:formatCode>#,##0_ 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6378896"/>
        <c:axId val="1476383808"/>
      </c:lineChart>
      <c:valAx>
        <c:axId val="153614222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5265039"/>
        <c:crosses val="max"/>
        <c:crossBetween val="between"/>
      </c:valAx>
      <c:catAx>
        <c:axId val="153526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6142223"/>
        <c:crosses val="autoZero"/>
        <c:auto val="1"/>
        <c:lblAlgn val="ctr"/>
        <c:lblOffset val="100"/>
        <c:noMultiLvlLbl val="0"/>
      </c:catAx>
      <c:valAx>
        <c:axId val="1476383808"/>
        <c:scaling>
          <c:orientation val="minMax"/>
        </c:scaling>
        <c:delete val="0"/>
        <c:axPos val="l"/>
        <c:numFmt formatCode="#,##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76378896"/>
        <c:crosses val="autoZero"/>
        <c:crossBetween val="between"/>
      </c:valAx>
      <c:catAx>
        <c:axId val="14763788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76383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184727</xdr:colOff>
      <xdr:row>9</xdr:row>
      <xdr:rowOff>138545</xdr:rowOff>
    </xdr:from>
    <xdr:to>
      <xdr:col>7</xdr:col>
      <xdr:colOff>1131455</xdr:colOff>
      <xdr:row>22</xdr:row>
      <xdr:rowOff>30017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A684ED0-8028-2547-9850-2AF95E72F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346362</xdr:colOff>
      <xdr:row>30</xdr:row>
      <xdr:rowOff>184727</xdr:rowOff>
    </xdr:from>
    <xdr:to>
      <xdr:col>9</xdr:col>
      <xdr:colOff>254000</xdr:colOff>
      <xdr:row>33</xdr:row>
      <xdr:rowOff>196272</xdr:rowOff>
    </xdr:to>
    <xdr:sp macro="" textlink="">
      <xdr:nvSpPr>
        <xdr:cNvPr id="4" name="모서리가 둥근 직사각형 3">
          <a:extLst>
            <a:ext uri="{FF2B5EF4-FFF2-40B4-BE49-F238E27FC236}">
              <a16:creationId xmlns:a16="http://schemas.microsoft.com/office/drawing/2014/main" id="{C2739E21-1102-8B06-6661-C252157D8AE7}"/>
            </a:ext>
          </a:extLst>
        </xdr:cNvPr>
        <xdr:cNvSpPr/>
      </xdr:nvSpPr>
      <xdr:spPr>
        <a:xfrm>
          <a:off x="5749635" y="7366000"/>
          <a:ext cx="4629729" cy="66963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제목</a:t>
          </a:r>
          <a:r>
            <a:rPr lang="en-US" altLang="ko-KR" sz="1100"/>
            <a:t>: ${title}</a:t>
          </a:r>
        </a:p>
        <a:p>
          <a:pPr algn="l"/>
          <a:r>
            <a:rPr lang="ko-KR" altLang="en-US" sz="1100"/>
            <a:t>작성일</a:t>
          </a:r>
          <a:r>
            <a:rPr lang="en-US" altLang="ko-KR" sz="1100"/>
            <a:t>: ${date}</a:t>
          </a:r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649856</xdr:colOff>
      <xdr:row>10</xdr:row>
      <xdr:rowOff>2844</xdr:rowOff>
    </xdr:from>
    <xdr:ext cx="2159245" cy="1000210"/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015B3EA5-A935-4403-5427-D17093ED2B9A}"/>
            </a:ext>
          </a:extLst>
        </xdr:cNvPr>
        <xdr:cNvSpPr/>
      </xdr:nvSpPr>
      <xdr:spPr>
        <a:xfrm>
          <a:off x="649856" y="2771444"/>
          <a:ext cx="2159245" cy="100021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l"/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${title}</a:t>
          </a:r>
        </a:p>
        <a:p>
          <a:pPr algn="ctr"/>
          <a:r>
            <a:rPr lang="ko-KR" altLang="en-US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작성일</a:t>
          </a:r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: ${date}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황용호" refreshedDate="46034.385167939814" createdVersion="8" refreshedVersion="8" minRefreshableVersion="3" recordCount="1" xr:uid="{F1FF6B91-A193-264C-97D3-59C6075DB3AC}">
  <cacheSource type="worksheet">
    <worksheetSource ref="A5:C6" sheet="세로 확장(기본형)"/>
  </cacheSource>
  <cacheFields count="3">
    <cacheField name="이름" numFmtId="0">
      <sharedItems count="1">
        <s v="${emp.name}"/>
      </sharedItems>
    </cacheField>
    <cacheField name="직급" numFmtId="0">
      <sharedItems count="1">
        <s v="${emp.position}"/>
      </sharedItems>
    </cacheField>
    <cacheField name="급여" numFmtId="176">
      <sharedItems count="1">
        <s v="${emp.salary}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3C3A8-83B3-D24B-8F4B-0985F48AA6EC}" name="피벗 테이블3" cacheId="149" applyNumberFormats="0" applyBorderFormats="0" applyFontFormats="0" applyPatternFormats="0" applyAlignmentFormats="0" applyWidthHeightFormats="1" dataCaption="값" grandTotalCaption="총" updatedVersion="8" minRefreshableVersion="3" useAutoFormatting="1" itemPrintTitles="1" createdVersion="8" indent="0" outline="1" outlineData="1" multipleFieldFilters="0" chartFormat="10" rowHeaderCaption="직급">
  <location ref="I6:K8" firstHeaderRow="0" firstDataRow="1" firstDataCol="1"/>
  <pivotFields count="3">
    <pivotField showAll="0"/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급여" fld="2" baseField="0" baseItem="0"/>
    <dataField name="평균 급여" fld="2" subtotal="average" baseField="0" baseItem="0"/>
  </dataFields>
  <formats count="15">
    <format dxfId="21">
      <pivotArea grandRow="1" outline="0" collapsedLevelsAreSubtotals="1" fieldPosition="0"/>
    </format>
    <format dxfId="20">
      <pivotArea collapsedLevelsAreSubtotals="1" fieldPosition="0">
        <references count="1">
          <reference field="1" count="0"/>
        </references>
      </pivotArea>
    </format>
    <format dxfId="19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  <format dxfId="18">
      <pivotArea collapsedLevelsAreSubtotals="1" fieldPosition="0">
        <references count="2">
          <reference field="4294967294" count="1" selected="0">
            <x v="0"/>
          </reference>
          <reference field="1" count="0"/>
        </references>
      </pivotArea>
    </format>
    <format dxfId="17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6">
      <pivotArea field="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5">
      <pivotArea field="1" type="button" dataOnly="0" labelOnly="1" outline="0" axis="axisRow" fieldPosition="0"/>
    </format>
    <format dxfId="14">
      <pivotArea dataOnly="0" labelOnly="1" fieldPosition="0">
        <references count="1">
          <reference field="1" count="0"/>
        </references>
      </pivotArea>
    </format>
    <format dxfId="13">
      <pivotArea dataOnly="0" labelOnly="1" grandRow="1" outline="0" fieldPosition="0"/>
    </format>
    <format dxfId="12">
      <pivotArea outline="0" collapsedLevelsAreSubtotals="1" fieldPosition="0"/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fieldPosition="0">
        <references count="1">
          <reference field="1" count="0"/>
        </references>
      </pivotArea>
    </format>
    <format dxfId="9">
      <pivotArea dataOnly="0" labelOnly="1" fieldPosition="0">
        <references count="1">
          <reference field="1" count="0"/>
        </references>
      </pivotArea>
    </format>
    <format dxfId="8">
      <pivotArea dataOnly="0" labelOnly="1" fieldPosition="0">
        <references count="1">
          <reference field="1" count="0"/>
        </references>
      </pivotArea>
    </format>
    <format dxfId="7">
      <pivotArea dataOnly="0" labelOnly="1" fieldPosition="0">
        <references count="1">
          <reference field="1" count="0"/>
        </references>
      </pivotArea>
    </format>
  </formats>
  <chartFormats count="6"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D345E0-1F9E-3542-9E98-DBF333DED568}" name="피벗 테이블2" cacheId="149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M6:N8" firstHeaderRow="1" firstDataRow="1" firstDataCol="1"/>
  <pivotFields count="3">
    <pivotField dataField="1" showAll="0"/>
    <pivotField axis="axisRow" showAll="0">
      <items count="2">
        <item x="0"/>
        <item t="default"/>
      </items>
    </pivotField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개수 : 이름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E78B4BA-63B4-7E48-8A74-BF38778A2567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"/>
  <sheetViews>
    <sheetView zoomScaleNormal="100" workbookViewId="0">
      <selection activeCell="E2" sqref="E2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14" ht="50" customHeight="1">
      <c r="A1" s="23" t="s">
        <v>7</v>
      </c>
      <c r="B1" s="23"/>
      <c r="C1" s="22" t="s">
        <v>28</v>
      </c>
      <c r="D1" s="22"/>
      <c r="E1" t="s">
        <v>43</v>
      </c>
      <c r="F1" s="25" t="str">
        <f>HYPERLINK("${url}", "${linkText}")</f>
        <v>${linkText}</v>
      </c>
      <c r="G1" s="25"/>
    </row>
    <row r="2" spans="1:14" ht="32" customHeight="1">
      <c r="A2" s="24" t="s">
        <v>0</v>
      </c>
      <c r="B2" s="24"/>
      <c r="C2" s="24"/>
    </row>
    <row r="3" spans="1:14">
      <c r="A3" t="s">
        <v>8</v>
      </c>
    </row>
    <row r="4" spans="1:14">
      <c r="A4" t="s">
        <v>14</v>
      </c>
    </row>
    <row r="5" spans="1:14">
      <c r="A5" s="1" t="s">
        <v>1</v>
      </c>
      <c r="B5" s="1" t="s">
        <v>2</v>
      </c>
      <c r="C5" s="1" t="s">
        <v>3</v>
      </c>
      <c r="D5" s="2"/>
    </row>
    <row r="6" spans="1:14">
      <c r="A6" s="8" t="s">
        <v>9</v>
      </c>
      <c r="B6" s="19" t="s">
        <v>4</v>
      </c>
      <c r="C6" s="12" t="s">
        <v>5</v>
      </c>
      <c r="D6" s="5"/>
      <c r="E6" t="s">
        <v>22</v>
      </c>
      <c r="I6" s="15" t="s">
        <v>2</v>
      </c>
      <c r="J6" s="16" t="s">
        <v>19</v>
      </c>
      <c r="K6" s="16" t="s">
        <v>18</v>
      </c>
      <c r="M6" s="13" t="s">
        <v>20</v>
      </c>
      <c r="N6" t="s">
        <v>21</v>
      </c>
    </row>
    <row r="7" spans="1:14">
      <c r="I7" s="18" t="s">
        <v>4</v>
      </c>
      <c r="J7" s="20">
        <v>0</v>
      </c>
      <c r="K7" s="17" t="e">
        <v>#DIV/0!</v>
      </c>
      <c r="M7" s="14" t="s">
        <v>4</v>
      </c>
      <c r="N7">
        <v>1</v>
      </c>
    </row>
    <row r="8" spans="1:14">
      <c r="A8" t="s">
        <v>6</v>
      </c>
      <c r="B8" t="s">
        <v>40</v>
      </c>
      <c r="I8" s="4" t="s">
        <v>17</v>
      </c>
      <c r="J8" s="16">
        <v>0</v>
      </c>
      <c r="K8" s="16" t="e">
        <v>#DIV/0!</v>
      </c>
      <c r="M8" s="14" t="s">
        <v>16</v>
      </c>
      <c r="N8">
        <v>1</v>
      </c>
    </row>
    <row r="9" spans="1:14">
      <c r="A9" t="s">
        <v>10</v>
      </c>
      <c r="B9">
        <f>SUM(C6)</f>
        <v>0</v>
      </c>
    </row>
    <row r="10" spans="1:14">
      <c r="B10" t="s">
        <v>23</v>
      </c>
    </row>
  </sheetData>
  <mergeCells count="4">
    <mergeCell ref="C1:D1"/>
    <mergeCell ref="A1:B1"/>
    <mergeCell ref="A2:C2"/>
    <mergeCell ref="F1:G1"/>
  </mergeCells>
  <phoneticPr fontId="2" type="noConversion"/>
  <conditionalFormatting sqref="C6">
    <cfRule type="cellIs" dxfId="6" priority="1" stopIfTrue="1" operator="greaterThanOrEqual">
      <formula>6000</formula>
    </cfRule>
  </conditionalFormatting>
  <dataValidations count="1">
    <dataValidation type="list" allowBlank="1" showInputMessage="1" showErrorMessage="1" sqref="B6" xr:uid="{0B0055E0-633E-B944-B6E3-96E0D2DE8585}">
      <formula1>"사원, 대리, 과장, 차장, 부장"</formula1>
    </dataValidation>
  </dataValidation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7E00-1A54-7244-AD9C-884797BC931B}">
  <dimension ref="A1:F30"/>
  <sheetViews>
    <sheetView view="pageLayout" zoomScaleNormal="100" workbookViewId="0">
      <selection activeCell="F1" sqref="F1"/>
    </sheetView>
  </sheetViews>
  <sheetFormatPr baseColWidth="10" defaultColWidth="8.83203125" defaultRowHeight="17"/>
  <cols>
    <col min="1" max="4" width="15" customWidth="1"/>
    <col min="5" max="5" width="5.83203125" customWidth="1"/>
    <col min="6" max="7" width="20" customWidth="1"/>
  </cols>
  <sheetData>
    <row r="1" spans="1:6" ht="50" customHeight="1">
      <c r="A1" s="23" t="s">
        <v>7</v>
      </c>
      <c r="B1" s="23"/>
      <c r="C1" s="23"/>
      <c r="D1" s="22" t="s">
        <v>28</v>
      </c>
      <c r="E1" s="22"/>
      <c r="F1" t="s">
        <v>43</v>
      </c>
    </row>
    <row r="2" spans="1:6" ht="32" customHeight="1">
      <c r="A2" s="24" t="s">
        <v>0</v>
      </c>
      <c r="B2" s="24"/>
      <c r="C2" s="24"/>
      <c r="D2" s="24"/>
    </row>
    <row r="3" spans="1:6">
      <c r="A3" t="s">
        <v>8</v>
      </c>
    </row>
    <row r="4" spans="1:6">
      <c r="A4" t="s">
        <v>15</v>
      </c>
    </row>
    <row r="5" spans="1:6" s="4" customFormat="1">
      <c r="A5" s="6" t="s">
        <v>1</v>
      </c>
      <c r="B5" s="8" t="s">
        <v>9</v>
      </c>
      <c r="E5" s="11"/>
    </row>
    <row r="6" spans="1:6">
      <c r="A6" s="10" t="s">
        <v>2</v>
      </c>
      <c r="B6" s="8" t="s">
        <v>4</v>
      </c>
      <c r="E6" s="5"/>
      <c r="F6" t="s">
        <v>11</v>
      </c>
    </row>
    <row r="7" spans="1:6">
      <c r="A7" s="10" t="s">
        <v>3</v>
      </c>
      <c r="B7" s="3" t="s">
        <v>5</v>
      </c>
      <c r="E7" t="s">
        <v>25</v>
      </c>
      <c r="F7">
        <f>SUM(B7)</f>
        <v>0</v>
      </c>
    </row>
    <row r="8" spans="1:6">
      <c r="A8" t="s">
        <v>6</v>
      </c>
      <c r="B8" t="s">
        <v>40</v>
      </c>
    </row>
    <row r="18" spans="1:3">
      <c r="A18" t="s">
        <v>24</v>
      </c>
    </row>
    <row r="20" spans="1:3">
      <c r="B20" t="s">
        <v>25</v>
      </c>
    </row>
    <row r="23" spans="1:3">
      <c r="B23" s="22" t="s">
        <v>26</v>
      </c>
      <c r="C23" s="22"/>
    </row>
    <row r="24" spans="1:3">
      <c r="B24" s="22"/>
      <c r="C24" s="22"/>
    </row>
    <row r="25" spans="1:3">
      <c r="B25" s="22"/>
      <c r="C25" s="22"/>
    </row>
    <row r="26" spans="1:3">
      <c r="B26" s="22"/>
      <c r="C26" s="22"/>
    </row>
    <row r="27" spans="1:3">
      <c r="B27" s="22"/>
      <c r="C27" s="22"/>
    </row>
    <row r="30" spans="1:3">
      <c r="B30" t="s">
        <v>27</v>
      </c>
    </row>
  </sheetData>
  <mergeCells count="4">
    <mergeCell ref="A1:C1"/>
    <mergeCell ref="D1:E1"/>
    <mergeCell ref="A2:D2"/>
    <mergeCell ref="B23:C27"/>
  </mergeCells>
  <phoneticPr fontId="2" type="noConversion"/>
  <pageMargins left="0.7" right="0.7" top="0.75" bottom="0.75" header="0.3" footer="0.3"/>
  <pageSetup paperSize="9" orientation="portrait" horizontalDpi="0" verticalDpi="0"/>
  <headerFooter>
    <oddHeader>&amp;C머리글: ${title}</oddHeader>
    <oddFooter>&amp;C&amp;"나눔명조,보통"&amp;10&amp;K000000바닥글&amp;"System Font,보통":${title}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B50C-AA25-8B49-B0CA-84B6326704E6}">
  <dimension ref="A1:E11"/>
  <sheetViews>
    <sheetView zoomScaleNormal="100" workbookViewId="0">
      <selection activeCell="E1" sqref="E1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</cols>
  <sheetData>
    <row r="1" spans="1:5" ht="50" customHeight="1">
      <c r="A1" s="23" t="s">
        <v>7</v>
      </c>
      <c r="B1" s="23"/>
      <c r="C1" s="22" t="s">
        <v>28</v>
      </c>
      <c r="D1" s="22"/>
      <c r="E1" t="s">
        <v>43</v>
      </c>
    </row>
    <row r="2" spans="1:5" ht="32" customHeight="1">
      <c r="A2" s="24" t="s">
        <v>0</v>
      </c>
      <c r="B2" s="24"/>
      <c r="C2" s="24"/>
    </row>
    <row r="3" spans="1:5">
      <c r="A3" t="s">
        <v>8</v>
      </c>
    </row>
    <row r="4" spans="1:5">
      <c r="A4" s="9" t="s">
        <v>41</v>
      </c>
    </row>
    <row r="5" spans="1:5">
      <c r="A5" s="26" t="s">
        <v>12</v>
      </c>
      <c r="B5" s="10" t="s">
        <v>2</v>
      </c>
      <c r="C5" s="2"/>
    </row>
    <row r="6" spans="1:5">
      <c r="A6" s="27"/>
      <c r="B6" s="7" t="s">
        <v>13</v>
      </c>
      <c r="C6" s="2"/>
    </row>
    <row r="7" spans="1:5">
      <c r="A7" s="28" t="s">
        <v>9</v>
      </c>
      <c r="B7" s="8" t="s">
        <v>4</v>
      </c>
      <c r="C7" s="5"/>
    </row>
    <row r="8" spans="1:5">
      <c r="A8" s="22"/>
      <c r="B8" s="12" t="s">
        <v>5</v>
      </c>
    </row>
    <row r="10" spans="1:5">
      <c r="A10" t="s">
        <v>6</v>
      </c>
      <c r="B10" t="s">
        <v>42</v>
      </c>
    </row>
    <row r="11" spans="1:5">
      <c r="A11" t="s">
        <v>10</v>
      </c>
      <c r="B11">
        <f>SUM(B8)</f>
        <v>0</v>
      </c>
    </row>
  </sheetData>
  <mergeCells count="5">
    <mergeCell ref="A1:B1"/>
    <mergeCell ref="C1:D1"/>
    <mergeCell ref="A2:C2"/>
    <mergeCell ref="A5:A6"/>
    <mergeCell ref="A7:A8"/>
  </mergeCells>
  <phoneticPr fontId="2" type="noConversion"/>
  <conditionalFormatting sqref="B8">
    <cfRule type="cellIs" dxfId="5" priority="1" stopIfTrue="1" operator="greaterThanOrEqual">
      <formula>6000</formula>
    </cfRule>
  </conditionalFormatting>
  <dataValidations count="1">
    <dataValidation type="list" allowBlank="1" showInputMessage="1" showErrorMessage="1" sqref="B7" xr:uid="{6340A82B-C0B9-9B4D-A4FE-1FEBDE003D7E}">
      <formula1>"사원, 대리, 과장, 차장, 부장"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E7F18-D735-9A4E-BC9A-79E1426A1776}">
  <dimension ref="A1:G10"/>
  <sheetViews>
    <sheetView tabSelected="1" zoomScaleNormal="100" workbookViewId="0">
      <selection activeCell="E1" sqref="E1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7" ht="50" customHeight="1">
      <c r="A1" s="23" t="s">
        <v>7</v>
      </c>
      <c r="B1" s="23"/>
      <c r="C1" s="22" t="s">
        <v>28</v>
      </c>
      <c r="D1" s="22"/>
      <c r="E1" t="s">
        <v>43</v>
      </c>
      <c r="F1" s="25" t="str">
        <f>HYPERLINK("${url}", "${linkText}")</f>
        <v>${linkText}</v>
      </c>
      <c r="G1" s="25"/>
    </row>
    <row r="2" spans="1:7" ht="32" customHeight="1">
      <c r="A2" s="24" t="s">
        <v>0</v>
      </c>
      <c r="B2" s="24"/>
      <c r="C2" s="24"/>
    </row>
    <row r="3" spans="1:7">
      <c r="A3" t="s">
        <v>8</v>
      </c>
    </row>
    <row r="4" spans="1:7">
      <c r="A4" t="s">
        <v>29</v>
      </c>
    </row>
    <row r="5" spans="1:7">
      <c r="A5" s="1" t="s">
        <v>1</v>
      </c>
      <c r="B5" s="1" t="s">
        <v>2</v>
      </c>
      <c r="C5" s="1" t="s">
        <v>3</v>
      </c>
      <c r="D5" s="2"/>
    </row>
    <row r="6" spans="1:7">
      <c r="A6" s="8" t="s">
        <v>9</v>
      </c>
      <c r="B6" s="19" t="s">
        <v>4</v>
      </c>
      <c r="C6" s="12" t="s">
        <v>5</v>
      </c>
      <c r="D6" s="5"/>
      <c r="E6" t="s">
        <v>22</v>
      </c>
    </row>
    <row r="8" spans="1:7">
      <c r="A8" t="s">
        <v>6</v>
      </c>
      <c r="B8" t="s">
        <v>40</v>
      </c>
    </row>
    <row r="9" spans="1:7">
      <c r="A9" t="s">
        <v>10</v>
      </c>
      <c r="B9">
        <f>SUM(C6)</f>
        <v>0</v>
      </c>
    </row>
    <row r="10" spans="1:7">
      <c r="B10" t="s">
        <v>23</v>
      </c>
    </row>
  </sheetData>
  <mergeCells count="4">
    <mergeCell ref="A1:B1"/>
    <mergeCell ref="C1:D1"/>
    <mergeCell ref="F1:G1"/>
    <mergeCell ref="A2:C2"/>
  </mergeCells>
  <phoneticPr fontId="2" type="noConversion"/>
  <conditionalFormatting sqref="C6">
    <cfRule type="cellIs" dxfId="4" priority="1" stopIfTrue="1" operator="greaterThanOrEqual">
      <formula>6000</formula>
    </cfRule>
  </conditionalFormatting>
  <dataValidations count="1">
    <dataValidation type="list" allowBlank="1" showInputMessage="1" showErrorMessage="1" sqref="B6" xr:uid="{235B57F8-47F7-C648-87B5-9EAD463C6935}">
      <formula1>"사원, 대리, 과장, 차장, 부장"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831A7-1533-E146-BAEE-6768589D142B}">
  <dimension ref="A1:G10"/>
  <sheetViews>
    <sheetView zoomScaleNormal="100" workbookViewId="0">
      <selection activeCell="D20" sqref="D20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7" ht="50" customHeight="1">
      <c r="A1" s="23" t="s">
        <v>7</v>
      </c>
      <c r="B1" s="23"/>
      <c r="C1" s="22" t="e" cm="1">
        <f t="array" aca="1" ref="C1" ca="1">TBEG_IMAGE(ci)</f>
        <v>#NAME?</v>
      </c>
      <c r="D1" s="22"/>
      <c r="E1" t="e" cm="1">
        <f t="array" aca="1" ref="E1" ca="1">TBEG_IMAGE(logo)</f>
        <v>#NAME?</v>
      </c>
      <c r="F1" s="25" t="str">
        <f>HYPERLINK("${url}", "${linkText}")</f>
        <v>${linkText}</v>
      </c>
      <c r="G1" s="25"/>
    </row>
    <row r="2" spans="1:7" ht="32" customHeight="1">
      <c r="A2" s="24" t="s">
        <v>0</v>
      </c>
      <c r="B2" s="24"/>
      <c r="C2" s="24"/>
    </row>
    <row r="3" spans="1:7">
      <c r="A3" t="s">
        <v>8</v>
      </c>
    </row>
    <row r="4" spans="1:7">
      <c r="A4" t="e" cm="1">
        <f t="array" aca="1" ref="A4" ca="1">TBEG_REPEAT(employees, A6:C6, emp)</f>
        <v>#NAME?</v>
      </c>
    </row>
    <row r="5" spans="1:7">
      <c r="A5" s="1" t="s">
        <v>1</v>
      </c>
      <c r="B5" s="1" t="s">
        <v>2</v>
      </c>
      <c r="C5" s="1" t="s">
        <v>3</v>
      </c>
      <c r="D5" s="2"/>
    </row>
    <row r="6" spans="1:7">
      <c r="A6" s="8" t="s">
        <v>9</v>
      </c>
      <c r="B6" s="19" t="s">
        <v>4</v>
      </c>
      <c r="C6" s="12" t="s">
        <v>5</v>
      </c>
      <c r="D6" s="5"/>
      <c r="E6" t="s">
        <v>22</v>
      </c>
    </row>
    <row r="8" spans="1:7">
      <c r="A8" t="s">
        <v>6</v>
      </c>
      <c r="B8" t="e" cm="1">
        <f t="array" aca="1" ref="B8" ca="1">TBEG_SIZE(employees)</f>
        <v>#NAME?</v>
      </c>
    </row>
    <row r="9" spans="1:7">
      <c r="A9" t="s">
        <v>10</v>
      </c>
      <c r="B9">
        <f>SUM(C6)</f>
        <v>0</v>
      </c>
    </row>
    <row r="10" spans="1:7">
      <c r="B10" t="s">
        <v>23</v>
      </c>
    </row>
  </sheetData>
  <mergeCells count="4">
    <mergeCell ref="A1:B1"/>
    <mergeCell ref="C1:D1"/>
    <mergeCell ref="F1:G1"/>
    <mergeCell ref="A2:C2"/>
  </mergeCells>
  <phoneticPr fontId="2" type="noConversion"/>
  <conditionalFormatting sqref="C6">
    <cfRule type="cellIs" dxfId="3" priority="1" stopIfTrue="1" operator="greaterThanOrEqual">
      <formula>6000</formula>
    </cfRule>
  </conditionalFormatting>
  <dataValidations disablePrompts="1" count="1">
    <dataValidation type="list" allowBlank="1" showInputMessage="1" showErrorMessage="1" sqref="B6" xr:uid="{97721A6B-7218-C449-B371-110B1AD21D18}">
      <formula1>"사원, 대리, 과장, 차장, 부장"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BECD-0507-2C4A-8414-95386B902C9F}">
  <dimension ref="A1:H12"/>
  <sheetViews>
    <sheetView zoomScaleNormal="100" workbookViewId="0">
      <selection activeCell="C1" sqref="C1:D1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8" ht="50" customHeight="1">
      <c r="A1" s="23" t="s">
        <v>7</v>
      </c>
      <c r="B1" s="23"/>
      <c r="C1" s="22" t="e" cm="1">
        <f t="array" aca="1" ref="C1" ca="1">TBEG_IMAGE(ci)</f>
        <v>#NAME?</v>
      </c>
      <c r="D1" s="22"/>
      <c r="E1" t="e" cm="1">
        <f t="array" aca="1" ref="E1" ca="1">TBEG_IMAGE(logo)</f>
        <v>#NAME?</v>
      </c>
      <c r="F1" s="25" t="str">
        <f>HYPERLINK("${url}", "${linkText}")</f>
        <v>${linkText}</v>
      </c>
      <c r="G1" s="25"/>
    </row>
    <row r="2" spans="1:8" ht="32" customHeight="1">
      <c r="A2" s="24" t="s">
        <v>0</v>
      </c>
      <c r="B2" s="24"/>
      <c r="C2" s="24"/>
    </row>
    <row r="3" spans="1:8">
      <c r="A3" t="s">
        <v>8</v>
      </c>
    </row>
    <row r="4" spans="1:8">
      <c r="A4" t="e" cm="1">
        <f t="array" aca="1" ref="A4" ca="1">TBEG_REPEAT(employees, A6:C6, emp)</f>
        <v>#NAME?</v>
      </c>
      <c r="E4" t="e" cm="1">
        <f t="array" aca="1" ref="E4" ca="1">TBEG_REPEAT(departments, B10:D10, dep)</f>
        <v>#NAME?</v>
      </c>
    </row>
    <row r="5" spans="1:8">
      <c r="A5" s="1" t="s">
        <v>1</v>
      </c>
      <c r="B5" s="1" t="s">
        <v>2</v>
      </c>
      <c r="C5" s="1" t="s">
        <v>3</v>
      </c>
      <c r="D5" s="2"/>
      <c r="E5" s="1" t="s">
        <v>39</v>
      </c>
    </row>
    <row r="6" spans="1:8">
      <c r="A6" s="8" t="s">
        <v>9</v>
      </c>
      <c r="B6" s="19" t="s">
        <v>4</v>
      </c>
      <c r="C6" s="12" t="s">
        <v>5</v>
      </c>
      <c r="D6" s="5"/>
      <c r="E6" t="s">
        <v>38</v>
      </c>
    </row>
    <row r="7" spans="1:8">
      <c r="F7" t="s">
        <v>37</v>
      </c>
    </row>
    <row r="8" spans="1:8" ht="30">
      <c r="A8" t="s">
        <v>6</v>
      </c>
      <c r="B8" t="s">
        <v>40</v>
      </c>
      <c r="F8" s="24" t="s">
        <v>36</v>
      </c>
      <c r="G8" s="24"/>
      <c r="H8" s="24"/>
    </row>
    <row r="9" spans="1:8">
      <c r="A9" t="s">
        <v>10</v>
      </c>
      <c r="B9">
        <f>SUM(C6)</f>
        <v>0</v>
      </c>
      <c r="F9" t="s">
        <v>8</v>
      </c>
    </row>
    <row r="10" spans="1:8">
      <c r="B10" s="8" t="s">
        <v>33</v>
      </c>
      <c r="C10" s="19" t="s">
        <v>34</v>
      </c>
      <c r="D10" s="12" t="s">
        <v>35</v>
      </c>
      <c r="F10" t="e" cm="1">
        <f t="array" aca="1" ref="F10" ca="1">TBEG_REPEAT(departments, F12:H12, dep)</f>
        <v>#NAME?</v>
      </c>
    </row>
    <row r="11" spans="1:8">
      <c r="F11" s="21" t="s">
        <v>30</v>
      </c>
      <c r="G11" s="21" t="s">
        <v>31</v>
      </c>
      <c r="H11" s="21" t="s">
        <v>32</v>
      </c>
    </row>
    <row r="12" spans="1:8">
      <c r="F12" s="8" t="s">
        <v>33</v>
      </c>
      <c r="G12" s="19" t="s">
        <v>34</v>
      </c>
      <c r="H12" s="12" t="s">
        <v>35</v>
      </c>
    </row>
  </sheetData>
  <mergeCells count="5">
    <mergeCell ref="A1:B1"/>
    <mergeCell ref="C1:D1"/>
    <mergeCell ref="F1:G1"/>
    <mergeCell ref="A2:C2"/>
    <mergeCell ref="F8:H8"/>
  </mergeCells>
  <phoneticPr fontId="2" type="noConversion"/>
  <conditionalFormatting sqref="C6">
    <cfRule type="cellIs" dxfId="2" priority="3" stopIfTrue="1" operator="greaterThanOrEqual">
      <formula>6000</formula>
    </cfRule>
  </conditionalFormatting>
  <conditionalFormatting sqref="D10">
    <cfRule type="cellIs" dxfId="1" priority="1" stopIfTrue="1" operator="greaterThanOrEqual">
      <formula>6000</formula>
    </cfRule>
  </conditionalFormatting>
  <conditionalFormatting sqref="H12">
    <cfRule type="cellIs" dxfId="0" priority="2" stopIfTrue="1" operator="greaterThanOrEqual">
      <formula>6000</formula>
    </cfRule>
  </conditionalFormatting>
  <dataValidations count="1">
    <dataValidation type="list" allowBlank="1" showInputMessage="1" showErrorMessage="1" sqref="B6" xr:uid="{8A349DEA-6EF6-A946-B7AB-4BE030A7F82F}">
      <formula1>"사원, 대리, 과장, 차장, 부장"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</vt:i4>
      </vt:variant>
    </vt:vector>
  </HeadingPairs>
  <TitlesOfParts>
    <vt:vector size="7" baseType="lpstr">
      <vt:lpstr>세로 확장(기본형)</vt:lpstr>
      <vt:lpstr>가로 확장</vt:lpstr>
      <vt:lpstr>셀병합</vt:lpstr>
      <vt:lpstr>Named Range</vt:lpstr>
      <vt:lpstr>확장 함수</vt:lpstr>
      <vt:lpstr>멀티 반복</vt:lpstr>
      <vt:lpstr>employeeList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2026-01-06T23:32:24Z</dcterms:created>
  <dcterms:modified xsi:type="dcterms:W3CDTF">2026-02-02T02:19:52Z</dcterms:modified>
</cp:coreProperties>
</file>